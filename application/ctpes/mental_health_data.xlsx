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31GOF-testing\real_data\real_ctpes\"/>
    </mc:Choice>
  </mc:AlternateContent>
  <xr:revisionPtr revIDLastSave="0" documentId="13_ncr:1_{AEF7584F-56C5-45CD-B44D-67B4C919F0E2}" xr6:coauthVersionLast="47" xr6:coauthVersionMax="47" xr10:uidLastSave="{00000000-0000-0000-0000-000000000000}"/>
  <bookViews>
    <workbookView xWindow="44880" yWindow="1057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1" l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30" i="1"/>
  <c r="D35" i="1"/>
  <c r="D31" i="1"/>
  <c r="D32" i="1"/>
  <c r="D33" i="1"/>
  <c r="D34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30" i="1"/>
  <c r="B30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F53" i="1"/>
  <c r="G53" i="1" s="1"/>
  <c r="G52" i="1"/>
  <c r="F52" i="1"/>
  <c r="G51" i="1"/>
  <c r="F51" i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<sst xmlns="http://schemas.openxmlformats.org/spreadsheetml/2006/main" count="106" uniqueCount="15">
  <si>
    <t>Father figure present</t>
  </si>
  <si>
    <t>Health problems</t>
  </si>
  <si>
    <t>Teacher's report</t>
  </si>
  <si>
    <t>Percentage</t>
  </si>
  <si>
    <t>No</t>
  </si>
  <si>
    <t>Yes</t>
  </si>
  <si>
    <t>Missing</t>
  </si>
  <si>
    <t>Abnormal</t>
  </si>
  <si>
    <t>Normal</t>
  </si>
  <si>
    <t>Parents’ report</t>
    <phoneticPr fontId="2" type="noConversion"/>
  </si>
  <si>
    <t>Yes</t>
    <phoneticPr fontId="2" type="noConversion"/>
  </si>
  <si>
    <t>X1</t>
    <phoneticPr fontId="2" type="noConversion"/>
  </si>
  <si>
    <t>X2</t>
    <phoneticPr fontId="2" type="noConversion"/>
  </si>
  <si>
    <t>Y</t>
    <phoneticPr fontId="2" type="noConversion"/>
  </si>
  <si>
    <t>X3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</si>
</sst>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C34" sqref="C34"/>
    </sheetView>
  </sheetViews>
  <sheetFormatPr defaultRowHeight="13.5" x14ac:dyDescent="0.3"/>
  <cols>
    <col min="1" max="1" width="36.6640625" customWidth="1"/>
    <col min="2" max="2" width="31.265625" customWidth="1"/>
    <col min="3" max="3" width="35" customWidth="1"/>
    <col min="4" max="4" width="35.46484375" customWidth="1"/>
    <col min="5" max="5" width="27.199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</row>
    <row r="2" spans="1:7" x14ac:dyDescent="0.3">
      <c r="A2" t="s">
        <v>4</v>
      </c>
      <c r="B2" t="s">
        <v>4</v>
      </c>
      <c r="C2" t="s">
        <v>6</v>
      </c>
      <c r="D2" t="s">
        <v>7</v>
      </c>
      <c r="E2">
        <v>1.0861000000000001</v>
      </c>
      <c r="F2">
        <f>E2*2486/100</f>
        <v>27.000446</v>
      </c>
      <c r="G2">
        <f>ROUND(F2,0)</f>
        <v>27</v>
      </c>
    </row>
    <row r="3" spans="1:7" x14ac:dyDescent="0.3">
      <c r="A3" t="s">
        <v>4</v>
      </c>
      <c r="B3" t="s">
        <v>4</v>
      </c>
      <c r="C3" t="s">
        <v>6</v>
      </c>
      <c r="D3" t="s">
        <v>8</v>
      </c>
      <c r="E3">
        <v>4.0225</v>
      </c>
      <c r="F3">
        <f t="shared" ref="F3:F25" si="0">E3*2486/100</f>
        <v>99.999349999999993</v>
      </c>
      <c r="G3">
        <f t="shared" ref="G3:G25" si="1">ROUND(F3,0)</f>
        <v>100</v>
      </c>
    </row>
    <row r="4" spans="1:7" x14ac:dyDescent="0.3">
      <c r="A4" t="s">
        <v>4</v>
      </c>
      <c r="B4" t="s">
        <v>4</v>
      </c>
      <c r="C4" t="s">
        <v>7</v>
      </c>
      <c r="D4" t="s">
        <v>7</v>
      </c>
      <c r="E4">
        <v>0.52290000000000003</v>
      </c>
      <c r="F4">
        <f t="shared" si="0"/>
        <v>12.999293999999999</v>
      </c>
      <c r="G4">
        <f t="shared" si="1"/>
        <v>13</v>
      </c>
    </row>
    <row r="5" spans="1:7" x14ac:dyDescent="0.3">
      <c r="A5" t="s">
        <v>4</v>
      </c>
      <c r="B5" t="s">
        <v>4</v>
      </c>
      <c r="C5" t="s">
        <v>7</v>
      </c>
      <c r="D5" t="s">
        <v>8</v>
      </c>
      <c r="E5">
        <v>0.64359999999999995</v>
      </c>
      <c r="F5">
        <f t="shared" si="0"/>
        <v>15.999896</v>
      </c>
      <c r="G5">
        <f t="shared" si="1"/>
        <v>16</v>
      </c>
    </row>
    <row r="6" spans="1:7" x14ac:dyDescent="0.3">
      <c r="A6" t="s">
        <v>4</v>
      </c>
      <c r="B6" t="s">
        <v>4</v>
      </c>
      <c r="C6" t="s">
        <v>8</v>
      </c>
      <c r="D6" t="s">
        <v>7</v>
      </c>
      <c r="E6">
        <v>0.52290000000000003</v>
      </c>
      <c r="F6">
        <f t="shared" si="0"/>
        <v>12.999293999999999</v>
      </c>
      <c r="G6">
        <f t="shared" si="1"/>
        <v>13</v>
      </c>
    </row>
    <row r="7" spans="1:7" x14ac:dyDescent="0.3">
      <c r="A7" t="s">
        <v>4</v>
      </c>
      <c r="B7" t="s">
        <v>4</v>
      </c>
      <c r="C7" t="s">
        <v>8</v>
      </c>
      <c r="D7" t="s">
        <v>8</v>
      </c>
      <c r="E7">
        <v>3.5398000000000001</v>
      </c>
      <c r="F7">
        <f t="shared" si="0"/>
        <v>87.999428000000009</v>
      </c>
      <c r="G7">
        <f t="shared" si="1"/>
        <v>88</v>
      </c>
    </row>
    <row r="8" spans="1:7" x14ac:dyDescent="0.3">
      <c r="A8" t="s">
        <v>4</v>
      </c>
      <c r="B8" t="s">
        <v>5</v>
      </c>
      <c r="C8" t="s">
        <v>6</v>
      </c>
      <c r="D8" t="s">
        <v>7</v>
      </c>
      <c r="E8">
        <v>1.3273999999999999</v>
      </c>
      <c r="F8">
        <f t="shared" si="0"/>
        <v>32.999163999999993</v>
      </c>
      <c r="G8">
        <f t="shared" si="1"/>
        <v>33</v>
      </c>
    </row>
    <row r="9" spans="1:7" x14ac:dyDescent="0.3">
      <c r="A9" t="s">
        <v>4</v>
      </c>
      <c r="B9" t="s">
        <v>5</v>
      </c>
      <c r="C9" t="s">
        <v>6</v>
      </c>
      <c r="D9" t="s">
        <v>8</v>
      </c>
      <c r="E9">
        <v>3.4190999999999998</v>
      </c>
      <c r="F9">
        <f t="shared" si="0"/>
        <v>84.998825999999994</v>
      </c>
      <c r="G9">
        <f t="shared" si="1"/>
        <v>85</v>
      </c>
    </row>
    <row r="10" spans="1:7" x14ac:dyDescent="0.3">
      <c r="A10" t="s">
        <v>4</v>
      </c>
      <c r="B10" t="s">
        <v>5</v>
      </c>
      <c r="C10" t="s">
        <v>7</v>
      </c>
      <c r="D10" t="s">
        <v>7</v>
      </c>
      <c r="E10">
        <v>1.0056</v>
      </c>
      <c r="F10">
        <f t="shared" si="0"/>
        <v>24.999216000000001</v>
      </c>
      <c r="G10">
        <f t="shared" si="1"/>
        <v>25</v>
      </c>
    </row>
    <row r="11" spans="1:7" x14ac:dyDescent="0.3">
      <c r="A11" t="s">
        <v>4</v>
      </c>
      <c r="B11" t="s">
        <v>5</v>
      </c>
      <c r="C11" t="s">
        <v>7</v>
      </c>
      <c r="D11" t="s">
        <v>8</v>
      </c>
      <c r="E11">
        <v>0.60340000000000005</v>
      </c>
      <c r="F11">
        <f t="shared" si="0"/>
        <v>15.000524</v>
      </c>
      <c r="G11">
        <f t="shared" si="1"/>
        <v>15</v>
      </c>
    </row>
    <row r="12" spans="1:7" x14ac:dyDescent="0.3">
      <c r="A12" t="s">
        <v>4</v>
      </c>
      <c r="B12" t="s">
        <v>5</v>
      </c>
      <c r="C12" t="s">
        <v>8</v>
      </c>
      <c r="D12" t="s">
        <v>7</v>
      </c>
      <c r="E12">
        <v>1.1263000000000001</v>
      </c>
      <c r="F12">
        <f t="shared" si="0"/>
        <v>27.999818000000001</v>
      </c>
      <c r="G12">
        <f t="shared" si="1"/>
        <v>28</v>
      </c>
    </row>
    <row r="13" spans="1:7" x14ac:dyDescent="0.3">
      <c r="A13" t="s">
        <v>4</v>
      </c>
      <c r="B13" t="s">
        <v>5</v>
      </c>
      <c r="C13" t="s">
        <v>8</v>
      </c>
      <c r="D13" t="s">
        <v>8</v>
      </c>
      <c r="E13">
        <v>2.8559999999999999</v>
      </c>
      <c r="F13">
        <f t="shared" si="0"/>
        <v>71.000159999999994</v>
      </c>
      <c r="G13">
        <f t="shared" si="1"/>
        <v>71</v>
      </c>
    </row>
    <row r="14" spans="1:7" x14ac:dyDescent="0.3">
      <c r="A14" t="s">
        <v>5</v>
      </c>
      <c r="B14" t="s">
        <v>4</v>
      </c>
      <c r="C14" t="s">
        <v>6</v>
      </c>
      <c r="D14" t="s">
        <v>7</v>
      </c>
      <c r="E14">
        <v>2.2928000000000002</v>
      </c>
      <c r="F14">
        <f t="shared" si="0"/>
        <v>56.999008000000003</v>
      </c>
      <c r="G14">
        <f t="shared" si="1"/>
        <v>57</v>
      </c>
    </row>
    <row r="15" spans="1:7" x14ac:dyDescent="0.3">
      <c r="A15" t="s">
        <v>5</v>
      </c>
      <c r="B15" t="s">
        <v>4</v>
      </c>
      <c r="C15" t="s">
        <v>6</v>
      </c>
      <c r="D15" t="s">
        <v>8</v>
      </c>
      <c r="E15">
        <v>16.371700000000001</v>
      </c>
      <c r="F15">
        <f t="shared" si="0"/>
        <v>407.00046200000003</v>
      </c>
      <c r="G15">
        <f t="shared" si="1"/>
        <v>407</v>
      </c>
    </row>
    <row r="16" spans="1:7" x14ac:dyDescent="0.3">
      <c r="A16" t="s">
        <v>5</v>
      </c>
      <c r="B16" t="s">
        <v>4</v>
      </c>
      <c r="C16" t="s">
        <v>7</v>
      </c>
      <c r="D16" t="s">
        <v>7</v>
      </c>
      <c r="E16">
        <v>0.60340000000000005</v>
      </c>
      <c r="F16">
        <f t="shared" si="0"/>
        <v>15.000524</v>
      </c>
      <c r="G16">
        <f t="shared" si="1"/>
        <v>15</v>
      </c>
    </row>
    <row r="17" spans="1:7" x14ac:dyDescent="0.3">
      <c r="A17" t="s">
        <v>5</v>
      </c>
      <c r="B17" t="s">
        <v>4</v>
      </c>
      <c r="C17" t="s">
        <v>7</v>
      </c>
      <c r="D17" t="s">
        <v>8</v>
      </c>
      <c r="E17">
        <v>3.0571000000000002</v>
      </c>
      <c r="F17">
        <f t="shared" si="0"/>
        <v>75.999505999999997</v>
      </c>
      <c r="G17">
        <f t="shared" si="1"/>
        <v>76</v>
      </c>
    </row>
    <row r="18" spans="1:7" x14ac:dyDescent="0.3">
      <c r="A18" t="s">
        <v>5</v>
      </c>
      <c r="B18" t="s">
        <v>4</v>
      </c>
      <c r="C18" t="s">
        <v>8</v>
      </c>
      <c r="D18" t="s">
        <v>7</v>
      </c>
      <c r="E18">
        <v>1.5286</v>
      </c>
      <c r="F18">
        <f t="shared" si="0"/>
        <v>38.000996000000001</v>
      </c>
      <c r="G18">
        <f t="shared" si="1"/>
        <v>38</v>
      </c>
    </row>
    <row r="19" spans="1:7" x14ac:dyDescent="0.3">
      <c r="A19" t="s">
        <v>5</v>
      </c>
      <c r="B19" t="s">
        <v>4</v>
      </c>
      <c r="C19" t="s">
        <v>8</v>
      </c>
      <c r="D19" t="s">
        <v>8</v>
      </c>
      <c r="E19">
        <v>18.946100000000001</v>
      </c>
      <c r="F19">
        <f t="shared" si="0"/>
        <v>471.000046</v>
      </c>
      <c r="G19">
        <f t="shared" si="1"/>
        <v>471</v>
      </c>
    </row>
    <row r="20" spans="1:7" x14ac:dyDescent="0.3">
      <c r="A20" t="s">
        <v>5</v>
      </c>
      <c r="B20" t="s">
        <v>5</v>
      </c>
      <c r="C20" t="s">
        <v>6</v>
      </c>
      <c r="D20" t="s">
        <v>7</v>
      </c>
      <c r="E20">
        <v>2.9767000000000001</v>
      </c>
      <c r="F20">
        <f t="shared" si="0"/>
        <v>74.000762000000009</v>
      </c>
      <c r="G20">
        <f t="shared" si="1"/>
        <v>74</v>
      </c>
    </row>
    <row r="21" spans="1:7" x14ac:dyDescent="0.3">
      <c r="A21" t="s">
        <v>5</v>
      </c>
      <c r="B21" t="s">
        <v>5</v>
      </c>
      <c r="C21" t="s">
        <v>6</v>
      </c>
      <c r="D21" t="s">
        <v>8</v>
      </c>
      <c r="E21">
        <v>11.182600000000001</v>
      </c>
      <c r="F21">
        <f t="shared" si="0"/>
        <v>277.999436</v>
      </c>
      <c r="G21">
        <f t="shared" si="1"/>
        <v>278</v>
      </c>
    </row>
    <row r="22" spans="1:7" x14ac:dyDescent="0.3">
      <c r="A22" t="s">
        <v>5</v>
      </c>
      <c r="B22" t="s">
        <v>5</v>
      </c>
      <c r="C22" t="s">
        <v>7</v>
      </c>
      <c r="D22" t="s">
        <v>7</v>
      </c>
      <c r="E22">
        <v>2.2526000000000002</v>
      </c>
      <c r="F22">
        <f t="shared" si="0"/>
        <v>55.999636000000002</v>
      </c>
      <c r="G22">
        <f t="shared" si="1"/>
        <v>56</v>
      </c>
    </row>
    <row r="23" spans="1:7" x14ac:dyDescent="0.3">
      <c r="A23" t="s">
        <v>5</v>
      </c>
      <c r="B23" t="s">
        <v>10</v>
      </c>
      <c r="C23" t="s">
        <v>7</v>
      </c>
      <c r="D23" t="s">
        <v>8</v>
      </c>
      <c r="E23">
        <v>1.8101</v>
      </c>
      <c r="F23">
        <f t="shared" si="0"/>
        <v>44.999085999999998</v>
      </c>
      <c r="G23">
        <f t="shared" si="1"/>
        <v>45</v>
      </c>
    </row>
    <row r="24" spans="1:7" x14ac:dyDescent="0.3">
      <c r="A24" t="s">
        <v>5</v>
      </c>
      <c r="B24" t="s">
        <v>5</v>
      </c>
      <c r="C24" t="s">
        <v>8</v>
      </c>
      <c r="D24" t="s">
        <v>7</v>
      </c>
      <c r="E24">
        <v>3.3386999999999998</v>
      </c>
      <c r="F24">
        <f t="shared" si="0"/>
        <v>83.000082000000006</v>
      </c>
      <c r="G24">
        <f t="shared" si="1"/>
        <v>83</v>
      </c>
    </row>
    <row r="25" spans="1:7" x14ac:dyDescent="0.3">
      <c r="A25" t="s">
        <v>5</v>
      </c>
      <c r="B25" t="s">
        <v>5</v>
      </c>
      <c r="C25" t="s">
        <v>8</v>
      </c>
      <c r="D25" t="s">
        <v>8</v>
      </c>
      <c r="E25">
        <v>14.963800000000001</v>
      </c>
      <c r="F25">
        <f t="shared" si="0"/>
        <v>372.00006800000006</v>
      </c>
      <c r="G25">
        <f t="shared" si="1"/>
        <v>372</v>
      </c>
    </row>
    <row r="29" spans="1:7" x14ac:dyDescent="0.3">
      <c r="A29" s="1" t="s">
        <v>11</v>
      </c>
      <c r="B29" s="1" t="s">
        <v>12</v>
      </c>
      <c r="C29" s="1" t="s">
        <v>13</v>
      </c>
      <c r="D29" s="1" t="s">
        <v>14</v>
      </c>
      <c r="E29" s="1" t="s">
        <v>3</v>
      </c>
    </row>
    <row r="30" spans="1:7" x14ac:dyDescent="0.3">
      <c r="A30">
        <f>IF(A2="YES", 0, IF(A2="NO", 1, ""))</f>
        <v>1</v>
      </c>
      <c r="B30">
        <f>IF(B2="YES", 1, IF(B2="NO", 0, ""))</f>
        <v>0</v>
      </c>
      <c r="C30" t="str">
        <f>IF(C2="Abnormal", 1, IF(C2="Normal", 0, IF(C2="Missing", "NA", "")))</f>
        <v>NA</v>
      </c>
      <c r="D30">
        <f>IF(D2="Abnormal", 1, IF(D2="Normal", 0, ""))</f>
        <v>1</v>
      </c>
      <c r="E30">
        <v>1.0861000000000001</v>
      </c>
      <c r="F30">
        <f>E30*2486/100</f>
        <v>27.000446</v>
      </c>
      <c r="G30">
        <f>ROUND(F30,0)</f>
        <v>27</v>
      </c>
    </row>
    <row r="31" spans="1:7" x14ac:dyDescent="0.3">
      <c r="A31">
        <f t="shared" ref="A31:A53" si="2">IF(A3="YES", 0, IF(A3="NO", 1, ""))</f>
        <v>1</v>
      </c>
      <c r="B31">
        <f t="shared" ref="A31:B53" si="3">IF(B3="YES", 1, IF(B3="NO", 0, ""))</f>
        <v>0</v>
      </c>
      <c r="C31" t="str">
        <f t="shared" ref="C31:C53" si="4">IF(C3="Abnormal", 1, IF(C3="Normal", 0, IF(C3="Missing", "NA", "")))</f>
        <v>NA</v>
      </c>
      <c r="D31">
        <f t="shared" ref="D31:D53" si="5">IF(D3="Abnormal", 1, IF(D3="Normal", 0, ""))</f>
        <v>0</v>
      </c>
      <c r="E31">
        <v>4.0225</v>
      </c>
      <c r="F31">
        <f t="shared" ref="F31:F53" si="6">E31*2486/100</f>
        <v>99.999349999999993</v>
      </c>
      <c r="G31">
        <f t="shared" ref="G31:G53" si="7">ROUND(F31,0)</f>
        <v>100</v>
      </c>
    </row>
    <row r="32" spans="1:7" x14ac:dyDescent="0.3">
      <c r="A32">
        <f t="shared" si="2"/>
        <v>1</v>
      </c>
      <c r="B32">
        <f t="shared" si="3"/>
        <v>0</v>
      </c>
      <c r="C32">
        <f t="shared" si="4"/>
        <v>1</v>
      </c>
      <c r="D32">
        <f t="shared" si="5"/>
        <v>1</v>
      </c>
      <c r="E32">
        <v>0.52290000000000003</v>
      </c>
      <c r="F32">
        <f t="shared" si="6"/>
        <v>12.999293999999999</v>
      </c>
      <c r="G32">
        <f t="shared" si="7"/>
        <v>13</v>
      </c>
    </row>
    <row r="33" spans="1:7" x14ac:dyDescent="0.3">
      <c r="A33">
        <f t="shared" si="2"/>
        <v>1</v>
      </c>
      <c r="B33">
        <f t="shared" si="3"/>
        <v>0</v>
      </c>
      <c r="C33">
        <f t="shared" si="4"/>
        <v>1</v>
      </c>
      <c r="D33">
        <f t="shared" si="5"/>
        <v>0</v>
      </c>
      <c r="E33">
        <v>0.64359999999999995</v>
      </c>
      <c r="F33">
        <f t="shared" si="6"/>
        <v>15.999896</v>
      </c>
      <c r="G33">
        <f t="shared" si="7"/>
        <v>16</v>
      </c>
    </row>
    <row r="34" spans="1:7" x14ac:dyDescent="0.3">
      <c r="A34">
        <f t="shared" si="2"/>
        <v>1</v>
      </c>
      <c r="B34">
        <f t="shared" si="3"/>
        <v>0</v>
      </c>
      <c r="C34">
        <f t="shared" si="4"/>
        <v>0</v>
      </c>
      <c r="D34">
        <f t="shared" si="5"/>
        <v>1</v>
      </c>
      <c r="E34">
        <v>0.52290000000000003</v>
      </c>
      <c r="F34">
        <f t="shared" si="6"/>
        <v>12.999293999999999</v>
      </c>
      <c r="G34">
        <f t="shared" si="7"/>
        <v>13</v>
      </c>
    </row>
    <row r="35" spans="1:7" x14ac:dyDescent="0.3">
      <c r="A35">
        <f t="shared" si="2"/>
        <v>1</v>
      </c>
      <c r="B35">
        <f t="shared" si="3"/>
        <v>0</v>
      </c>
      <c r="C35">
        <f t="shared" si="4"/>
        <v>0</v>
      </c>
      <c r="D35">
        <f>IF(D7="Abnormal", 1, IF(D7="Normal", 0, ""))</f>
        <v>0</v>
      </c>
      <c r="E35">
        <v>3.5398000000000001</v>
      </c>
      <c r="F35">
        <f t="shared" si="6"/>
        <v>87.999428000000009</v>
      </c>
      <c r="G35">
        <f t="shared" si="7"/>
        <v>88</v>
      </c>
    </row>
    <row r="36" spans="1:7" x14ac:dyDescent="0.3">
      <c r="A36">
        <f t="shared" si="2"/>
        <v>1</v>
      </c>
      <c r="B36">
        <f t="shared" si="3"/>
        <v>1</v>
      </c>
      <c r="C36" t="str">
        <f t="shared" si="4"/>
        <v>NA</v>
      </c>
      <c r="D36">
        <f t="shared" si="5"/>
        <v>1</v>
      </c>
      <c r="E36">
        <v>1.3273999999999999</v>
      </c>
      <c r="F36">
        <f t="shared" si="6"/>
        <v>32.999163999999993</v>
      </c>
      <c r="G36">
        <f t="shared" si="7"/>
        <v>33</v>
      </c>
    </row>
    <row r="37" spans="1:7" x14ac:dyDescent="0.3">
      <c r="A37">
        <f t="shared" si="2"/>
        <v>1</v>
      </c>
      <c r="B37">
        <f t="shared" si="3"/>
        <v>1</v>
      </c>
      <c r="C37" t="str">
        <f t="shared" si="4"/>
        <v>NA</v>
      </c>
      <c r="D37">
        <f t="shared" si="5"/>
        <v>0</v>
      </c>
      <c r="E37">
        <v>3.4190999999999998</v>
      </c>
      <c r="F37">
        <f t="shared" si="6"/>
        <v>84.998825999999994</v>
      </c>
      <c r="G37">
        <f t="shared" si="7"/>
        <v>85</v>
      </c>
    </row>
    <row r="38" spans="1:7" x14ac:dyDescent="0.3">
      <c r="A38">
        <f t="shared" si="2"/>
        <v>1</v>
      </c>
      <c r="B38">
        <f t="shared" si="3"/>
        <v>1</v>
      </c>
      <c r="C38">
        <f t="shared" si="4"/>
        <v>1</v>
      </c>
      <c r="D38">
        <f t="shared" si="5"/>
        <v>1</v>
      </c>
      <c r="E38">
        <v>1.0056</v>
      </c>
      <c r="F38">
        <f t="shared" si="6"/>
        <v>24.999216000000001</v>
      </c>
      <c r="G38">
        <f t="shared" si="7"/>
        <v>25</v>
      </c>
    </row>
    <row r="39" spans="1:7" x14ac:dyDescent="0.3">
      <c r="A39">
        <f t="shared" si="2"/>
        <v>1</v>
      </c>
      <c r="B39">
        <f t="shared" si="3"/>
        <v>1</v>
      </c>
      <c r="C39">
        <f t="shared" si="4"/>
        <v>1</v>
      </c>
      <c r="D39">
        <f t="shared" si="5"/>
        <v>0</v>
      </c>
      <c r="E39">
        <v>0.60340000000000005</v>
      </c>
      <c r="F39">
        <f t="shared" si="6"/>
        <v>15.000524</v>
      </c>
      <c r="G39">
        <f t="shared" si="7"/>
        <v>15</v>
      </c>
    </row>
    <row r="40" spans="1:7" x14ac:dyDescent="0.3">
      <c r="A40">
        <f t="shared" si="2"/>
        <v>1</v>
      </c>
      <c r="B40">
        <f t="shared" si="3"/>
        <v>1</v>
      </c>
      <c r="C40">
        <f t="shared" si="4"/>
        <v>0</v>
      </c>
      <c r="D40">
        <f t="shared" si="5"/>
        <v>1</v>
      </c>
      <c r="E40">
        <v>1.1263000000000001</v>
      </c>
      <c r="F40">
        <f t="shared" si="6"/>
        <v>27.999818000000001</v>
      </c>
      <c r="G40">
        <f t="shared" si="7"/>
        <v>28</v>
      </c>
    </row>
    <row r="41" spans="1:7" x14ac:dyDescent="0.3">
      <c r="A41">
        <f t="shared" si="2"/>
        <v>1</v>
      </c>
      <c r="B41">
        <f t="shared" si="3"/>
        <v>1</v>
      </c>
      <c r="C41">
        <f t="shared" si="4"/>
        <v>0</v>
      </c>
      <c r="D41">
        <f t="shared" si="5"/>
        <v>0</v>
      </c>
      <c r="E41">
        <v>2.8559999999999999</v>
      </c>
      <c r="F41">
        <f t="shared" si="6"/>
        <v>71.000159999999994</v>
      </c>
      <c r="G41">
        <f t="shared" si="7"/>
        <v>71</v>
      </c>
    </row>
    <row r="42" spans="1:7" x14ac:dyDescent="0.3">
      <c r="A42">
        <f t="shared" si="2"/>
        <v>0</v>
      </c>
      <c r="B42">
        <f t="shared" si="3"/>
        <v>0</v>
      </c>
      <c r="C42" t="str">
        <f t="shared" si="4"/>
        <v>NA</v>
      </c>
      <c r="D42">
        <f t="shared" si="5"/>
        <v>1</v>
      </c>
      <c r="E42">
        <v>2.2928000000000002</v>
      </c>
      <c r="F42">
        <f t="shared" si="6"/>
        <v>56.999008000000003</v>
      </c>
      <c r="G42">
        <f t="shared" si="7"/>
        <v>57</v>
      </c>
    </row>
    <row r="43" spans="1:7" x14ac:dyDescent="0.3">
      <c r="A43">
        <f t="shared" si="2"/>
        <v>0</v>
      </c>
      <c r="B43">
        <f t="shared" si="3"/>
        <v>0</v>
      </c>
      <c r="C43" t="str">
        <f t="shared" si="4"/>
        <v>NA</v>
      </c>
      <c r="D43">
        <f t="shared" si="5"/>
        <v>0</v>
      </c>
      <c r="E43">
        <v>16.371700000000001</v>
      </c>
      <c r="F43">
        <f t="shared" si="6"/>
        <v>407.00046200000003</v>
      </c>
      <c r="G43">
        <f t="shared" si="7"/>
        <v>407</v>
      </c>
    </row>
    <row r="44" spans="1:7" x14ac:dyDescent="0.3">
      <c r="A44">
        <f t="shared" si="2"/>
        <v>0</v>
      </c>
      <c r="B44">
        <f t="shared" si="3"/>
        <v>0</v>
      </c>
      <c r="C44">
        <f t="shared" si="4"/>
        <v>1</v>
      </c>
      <c r="D44">
        <f t="shared" si="5"/>
        <v>1</v>
      </c>
      <c r="E44">
        <v>0.60340000000000005</v>
      </c>
      <c r="F44">
        <f t="shared" si="6"/>
        <v>15.000524</v>
      </c>
      <c r="G44">
        <f t="shared" si="7"/>
        <v>15</v>
      </c>
    </row>
    <row r="45" spans="1:7" x14ac:dyDescent="0.3">
      <c r="A45">
        <f t="shared" si="2"/>
        <v>0</v>
      </c>
      <c r="B45">
        <f t="shared" si="3"/>
        <v>0</v>
      </c>
      <c r="C45">
        <f t="shared" si="4"/>
        <v>1</v>
      </c>
      <c r="D45">
        <f t="shared" si="5"/>
        <v>0</v>
      </c>
      <c r="E45">
        <v>3.0571000000000002</v>
      </c>
      <c r="F45">
        <f t="shared" si="6"/>
        <v>75.999505999999997</v>
      </c>
      <c r="G45">
        <f t="shared" si="7"/>
        <v>76</v>
      </c>
    </row>
    <row r="46" spans="1:7" x14ac:dyDescent="0.3">
      <c r="A46">
        <f t="shared" si="2"/>
        <v>0</v>
      </c>
      <c r="B46">
        <f t="shared" si="3"/>
        <v>0</v>
      </c>
      <c r="C46">
        <f t="shared" si="4"/>
        <v>0</v>
      </c>
      <c r="D46">
        <f t="shared" si="5"/>
        <v>1</v>
      </c>
      <c r="E46">
        <v>1.5286</v>
      </c>
      <c r="F46">
        <f t="shared" si="6"/>
        <v>38.000996000000001</v>
      </c>
      <c r="G46">
        <f t="shared" si="7"/>
        <v>38</v>
      </c>
    </row>
    <row r="47" spans="1:7" x14ac:dyDescent="0.3">
      <c r="A47">
        <f t="shared" si="2"/>
        <v>0</v>
      </c>
      <c r="B47">
        <f t="shared" si="3"/>
        <v>0</v>
      </c>
      <c r="C47">
        <f t="shared" si="4"/>
        <v>0</v>
      </c>
      <c r="D47">
        <f t="shared" si="5"/>
        <v>0</v>
      </c>
      <c r="E47">
        <v>18.946100000000001</v>
      </c>
      <c r="F47">
        <f t="shared" si="6"/>
        <v>471.000046</v>
      </c>
      <c r="G47">
        <f t="shared" si="7"/>
        <v>471</v>
      </c>
    </row>
    <row r="48" spans="1:7" x14ac:dyDescent="0.3">
      <c r="A48">
        <f t="shared" si="2"/>
        <v>0</v>
      </c>
      <c r="B48">
        <f t="shared" si="3"/>
        <v>1</v>
      </c>
      <c r="C48" t="str">
        <f t="shared" si="4"/>
        <v>NA</v>
      </c>
      <c r="D48">
        <f t="shared" si="5"/>
        <v>1</v>
      </c>
      <c r="E48">
        <v>2.9767000000000001</v>
      </c>
      <c r="F48">
        <f t="shared" si="6"/>
        <v>74.000762000000009</v>
      </c>
      <c r="G48">
        <f t="shared" si="7"/>
        <v>74</v>
      </c>
    </row>
    <row r="49" spans="1:7" x14ac:dyDescent="0.3">
      <c r="A49">
        <f t="shared" si="2"/>
        <v>0</v>
      </c>
      <c r="B49">
        <f t="shared" si="3"/>
        <v>1</v>
      </c>
      <c r="C49" t="str">
        <f t="shared" si="4"/>
        <v>NA</v>
      </c>
      <c r="D49">
        <f t="shared" si="5"/>
        <v>0</v>
      </c>
      <c r="E49">
        <v>11.182600000000001</v>
      </c>
      <c r="F49">
        <f t="shared" si="6"/>
        <v>277.999436</v>
      </c>
      <c r="G49">
        <f t="shared" si="7"/>
        <v>278</v>
      </c>
    </row>
    <row r="50" spans="1:7" x14ac:dyDescent="0.3">
      <c r="A50">
        <f t="shared" si="2"/>
        <v>0</v>
      </c>
      <c r="B50">
        <f t="shared" si="3"/>
        <v>1</v>
      </c>
      <c r="C50">
        <f t="shared" si="4"/>
        <v>1</v>
      </c>
      <c r="D50">
        <f t="shared" si="5"/>
        <v>1</v>
      </c>
      <c r="E50">
        <v>2.2526000000000002</v>
      </c>
      <c r="F50">
        <f t="shared" si="6"/>
        <v>55.999636000000002</v>
      </c>
      <c r="G50">
        <f t="shared" si="7"/>
        <v>56</v>
      </c>
    </row>
    <row r="51" spans="1:7" x14ac:dyDescent="0.3">
      <c r="A51">
        <f t="shared" si="2"/>
        <v>0</v>
      </c>
      <c r="B51">
        <f t="shared" si="3"/>
        <v>1</v>
      </c>
      <c r="C51">
        <f t="shared" si="4"/>
        <v>1</v>
      </c>
      <c r="D51">
        <f t="shared" si="5"/>
        <v>0</v>
      </c>
      <c r="E51">
        <v>1.8101</v>
      </c>
      <c r="F51">
        <f t="shared" si="6"/>
        <v>44.999085999999998</v>
      </c>
      <c r="G51">
        <f t="shared" si="7"/>
        <v>45</v>
      </c>
    </row>
    <row r="52" spans="1:7" x14ac:dyDescent="0.3">
      <c r="A52">
        <f t="shared" si="2"/>
        <v>0</v>
      </c>
      <c r="B52">
        <f t="shared" si="3"/>
        <v>1</v>
      </c>
      <c r="C52">
        <f t="shared" si="4"/>
        <v>0</v>
      </c>
      <c r="D52">
        <f t="shared" si="5"/>
        <v>1</v>
      </c>
      <c r="E52">
        <v>3.3386999999999998</v>
      </c>
      <c r="F52">
        <f t="shared" si="6"/>
        <v>83.000082000000006</v>
      </c>
      <c r="G52">
        <f t="shared" si="7"/>
        <v>83</v>
      </c>
    </row>
    <row r="53" spans="1:7" x14ac:dyDescent="0.3">
      <c r="A53">
        <f t="shared" si="2"/>
        <v>0</v>
      </c>
      <c r="B53">
        <f t="shared" si="3"/>
        <v>1</v>
      </c>
      <c r="C53">
        <f t="shared" si="4"/>
        <v>0</v>
      </c>
      <c r="D53">
        <f t="shared" si="5"/>
        <v>0</v>
      </c>
      <c r="E53">
        <v>14.963800000000001</v>
      </c>
      <c r="F53">
        <f t="shared" si="6"/>
        <v>372.00006800000006</v>
      </c>
      <c r="G53">
        <f t="shared" si="7"/>
        <v>372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Manli Cheng</cp:lastModifiedBy>
  <dcterms:created xsi:type="dcterms:W3CDTF">2025-01-08T13:07:47Z</dcterms:created>
  <dcterms:modified xsi:type="dcterms:W3CDTF">2025-01-10T21:35:41Z</dcterms:modified>
</cp:coreProperties>
</file>